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 Parameters" sheetId="1" state="visible" r:id="rId1"/>
    <sheet xmlns:r="http://schemas.openxmlformats.org/officeDocument/2006/relationships" name="Material Screen" sheetId="2" state="visible" r:id="rId2"/>
    <sheet xmlns:r="http://schemas.openxmlformats.org/officeDocument/2006/relationships" name="Cost Estimate" sheetId="3" state="visible" r:id="rId3"/>
    <sheet xmlns:r="http://schemas.openxmlformats.org/officeDocument/2006/relationships" name="Feature Cooling Logic" sheetId="4" state="visible" r:id="rId4"/>
  </sheets>
  <definedNames>
    <definedName name="_xlnm._FilterDatabase" localSheetId="0" hidden="1">'Final Parameters'!$A$1:$E$9</definedName>
    <definedName name="_xlnm._FilterDatabase" localSheetId="1" hidden="1">'Material Screen'!$A$1:$G$10</definedName>
    <definedName name="_xlnm._FilterDatabase" localSheetId="2" hidden="1">'Cost Estimate'!$A$1:$D$8</definedName>
    <definedName name="_xlnm._FilterDatabase" localSheetId="3" hidden="1">'Feature Cooling Logic'!$A$1:$D$5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346A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4" fontId="2" fillId="0" borderId="0" applyAlignment="1" pivotButton="0" quotePrefix="0" xfId="0">
      <alignment vertical="top" wrapText="1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2" customWidth="1" min="2" max="2"/>
    <col width="12" customWidth="1" min="3" max="3"/>
    <col width="64" customWidth="1" min="4" max="4"/>
    <col width="38" customWidth="1" min="5" max="5"/>
  </cols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Definition / status</t>
        </is>
      </c>
      <c r="E1" s="1" t="inlineStr">
        <is>
          <t>Source</t>
        </is>
      </c>
    </row>
    <row r="2" ht="43" customHeight="1">
      <c r="A2" s="2" t="inlineStr">
        <is>
          <t>Overall height</t>
        </is>
      </c>
      <c r="B2" s="2" t="n">
        <v>3.48</v>
      </c>
      <c r="C2" s="2" t="inlineStr">
        <is>
          <t>m</t>
        </is>
      </c>
      <c r="D2" s="2" t="inlineStr">
        <is>
          <t>Rounded exterior dimension</t>
        </is>
      </c>
      <c r="E2" s="2" t="inlineStr">
        <is>
          <t>Project model P1</t>
        </is>
      </c>
    </row>
    <row r="3" ht="43" customHeight="1">
      <c r="A3" s="2" t="inlineStr">
        <is>
          <t>Plan X / Y</t>
        </is>
      </c>
      <c r="B3" s="2" t="inlineStr">
        <is>
          <t>6.22 / 6.66</t>
        </is>
      </c>
      <c r="C3" s="2" t="inlineStr">
        <is>
          <t>m</t>
        </is>
      </c>
      <c r="D3" s="2" t="inlineStr">
        <is>
          <t>Rounded exterior extents</t>
        </is>
      </c>
      <c r="E3" s="2" t="inlineStr">
        <is>
          <t>Project model P1</t>
        </is>
      </c>
    </row>
    <row r="4" ht="43" customHeight="1">
      <c r="A4" s="2" t="inlineStr">
        <is>
          <t>Maximum horizontal span</t>
        </is>
      </c>
      <c r="B4" s="2" t="n">
        <v>6.91</v>
      </c>
      <c r="C4" s="2" t="inlineStr">
        <is>
          <t>m</t>
        </is>
      </c>
      <c r="D4" s="2" t="inlineStr">
        <is>
          <t>Max distance of projected exterior-mesh vertices</t>
        </is>
      </c>
      <c r="E4" s="2" t="inlineStr">
        <is>
          <t>Supplemental model calculation</t>
        </is>
      </c>
    </row>
    <row r="5" ht="43" customHeight="1">
      <c r="A5" s="2" t="inlineStr">
        <is>
          <t>Support chord inclination</t>
        </is>
      </c>
      <c r="B5" s="2" t="inlineStr">
        <is>
          <t>45.9–50.7</t>
        </is>
      </c>
      <c r="C5" s="2" t="inlineStr">
        <is>
          <t>degrees</t>
        </is>
      </c>
      <c r="D5" s="2" t="inlineStr">
        <is>
          <t>Above horizontal; endpoint chords, not local tangents</t>
        </is>
      </c>
      <c r="E5" s="2" t="inlineStr">
        <is>
          <t>Supplemental model calculation</t>
        </is>
      </c>
    </row>
    <row r="6" ht="43" customHeight="1">
      <c r="A6" s="2" t="inlineStr">
        <is>
          <t>Member outside diameter</t>
        </is>
      </c>
      <c r="B6" s="2" t="n">
        <v>80</v>
      </c>
      <c r="C6" s="2" t="inlineStr">
        <is>
          <t>mm</t>
        </is>
      </c>
      <c r="D6" s="2" t="inlineStr">
        <is>
          <t>Geometric exterior diameter</t>
        </is>
      </c>
      <c r="E6" s="2" t="inlineStr">
        <is>
          <t>Project model P1</t>
        </is>
      </c>
    </row>
    <row r="7" ht="43" customHeight="1">
      <c r="A7" s="2" t="inlineStr">
        <is>
          <t>Crown corner factor</t>
        </is>
      </c>
      <c r="B7" s="2" t="n">
        <v>0.85</v>
      </c>
      <c r="C7" s="2" t="inlineStr">
        <is>
          <t>—</t>
        </is>
      </c>
      <c r="D7" s="2" t="inlineStr">
        <is>
          <t>Selected shape control</t>
        </is>
      </c>
      <c r="E7" s="2" t="inlineStr">
        <is>
          <t>Project parameters P1</t>
        </is>
      </c>
    </row>
    <row r="8" ht="43" customHeight="1">
      <c r="A8" s="2" t="inlineStr">
        <is>
          <t>Upper expansion</t>
        </is>
      </c>
      <c r="B8" s="2" t="n">
        <v>1.08</v>
      </c>
      <c r="C8" s="2" t="inlineStr">
        <is>
          <t>—</t>
        </is>
      </c>
      <c r="D8" s="2" t="inlineStr">
        <is>
          <t>Selected shape control</t>
        </is>
      </c>
      <c r="E8" s="2" t="inlineStr">
        <is>
          <t>Project parameters P1</t>
        </is>
      </c>
    </row>
    <row r="9" ht="43" customHeight="1">
      <c r="A9" s="2" t="inlineStr">
        <is>
          <t>Final member length</t>
        </is>
      </c>
      <c r="B9" s="2" t="n">
        <v>288.66</v>
      </c>
      <c r="C9" s="2" t="inlineStr">
        <is>
          <t>m</t>
        </is>
      </c>
      <c r="D9" s="2" t="inlineStr">
        <is>
          <t>Project take-off; 12 supports + 47 crown members</t>
        </is>
      </c>
      <c r="E9" s="2" t="inlineStr">
        <is>
          <t>Project workbook P3</t>
        </is>
      </c>
    </row>
  </sheetData>
  <autoFilter ref="A1:E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7" customWidth="1" min="3" max="3"/>
    <col width="29" customWidth="1" min="4" max="4"/>
    <col width="34" customWidth="1" min="5" max="5"/>
    <col width="49" customWidth="1" min="6" max="6"/>
    <col width="66" customWidth="1" min="7" max="7"/>
  </cols>
  <sheetData>
    <row r="1">
      <c r="A1" s="1" t="inlineStr">
        <is>
          <t>Material / section</t>
        </is>
      </c>
      <c r="B1" s="1" t="inlineStr">
        <is>
          <t>Nominal bending kN·m</t>
        </is>
      </c>
      <c r="C1" s="1" t="inlineStr">
        <is>
          <t>Conductivity W/(m·K)</t>
        </is>
      </c>
      <c r="D1" s="1" t="inlineStr">
        <is>
          <t>Carbon factor kgCO2e/kg</t>
        </is>
      </c>
      <c r="E1" s="1" t="inlineStr">
        <is>
          <t>Material cost CNY / 288.66m</t>
        </is>
      </c>
      <c r="F1" s="1" t="inlineStr">
        <is>
          <t>Durability / exposure</t>
        </is>
      </c>
      <c r="G1" s="1" t="inlineStr">
        <is>
          <t>Status</t>
        </is>
      </c>
    </row>
    <row r="2" ht="43" customHeight="1">
      <c r="A2" s="2" t="inlineStr">
        <is>
          <t>Q355B solid Ø80</t>
        </is>
      </c>
      <c r="B2" s="2" t="n">
        <v>17.8442461282572</v>
      </c>
      <c r="C2" s="2" t="n">
        <v>50</v>
      </c>
      <c r="D2" s="2" t="n">
        <v>2.15</v>
      </c>
      <c r="E2" s="2" t="n">
        <v>96824.2351395</v>
      </c>
      <c r="F2" s="2" t="inlineStr">
        <is>
          <t>Coating/exposure check</t>
        </is>
      </c>
      <c r="G2" s="2" t="inlineStr">
        <is>
          <t>Reference workbook input; no verified product specification or quotation</t>
        </is>
      </c>
    </row>
    <row r="3" ht="43" customHeight="1">
      <c r="A3" s="2" t="inlineStr">
        <is>
          <t>Q355B tube Ø80×3</t>
        </is>
      </c>
      <c r="B3" s="2" t="n">
        <v>4.7823525433911</v>
      </c>
      <c r="C3" s="2" t="n">
        <v>50</v>
      </c>
      <c r="D3" s="2" t="n">
        <v>2.15</v>
      </c>
      <c r="E3" s="2" t="n">
        <v>13983.368751</v>
      </c>
      <c r="F3" s="2" t="inlineStr">
        <is>
          <t>Coating/exposure check</t>
        </is>
      </c>
      <c r="G3" s="2" t="inlineStr">
        <is>
          <t>Reference workbook input; no verified product specification or quotation</t>
        </is>
      </c>
    </row>
    <row r="4" ht="43" customHeight="1">
      <c r="A4" s="2" t="inlineStr">
        <is>
          <t>Q355B tube Ø80×4</t>
        </is>
      </c>
      <c r="B4" s="2" t="n">
        <v>6.1363822890556</v>
      </c>
      <c r="C4" s="2" t="n">
        <v>50</v>
      </c>
      <c r="D4" s="2" t="n">
        <v>2.15</v>
      </c>
      <c r="E4" s="2" t="n">
        <v>18394.1007675</v>
      </c>
      <c r="F4" s="2" t="inlineStr">
        <is>
          <t>Coating/exposure check</t>
        </is>
      </c>
      <c r="G4" s="2" t="inlineStr">
        <is>
          <t>Reference workbook input; no verified product specification or quotation</t>
        </is>
      </c>
    </row>
    <row r="5" ht="43" customHeight="1">
      <c r="A5" s="2" t="inlineStr">
        <is>
          <t>Q355B tube Ø80×5</t>
        </is>
      </c>
      <c r="B5" s="2" t="n">
        <v>7.38374809178019</v>
      </c>
      <c r="C5" s="2" t="n">
        <v>50</v>
      </c>
      <c r="D5" s="2" t="n">
        <v>2.15</v>
      </c>
      <c r="E5" s="2" t="n">
        <v>22689.267753</v>
      </c>
      <c r="F5" s="2" t="inlineStr">
        <is>
          <t>Coating/exposure check</t>
        </is>
      </c>
      <c r="G5" s="2" t="inlineStr">
        <is>
          <t>Reference workbook input; no verified product specification or quotation</t>
        </is>
      </c>
    </row>
    <row r="6" ht="43" customHeight="1">
      <c r="A6" s="2" t="inlineStr">
        <is>
          <t>Weathering steel Ø80×4</t>
        </is>
      </c>
      <c r="B6" s="2" t="n">
        <v>6.1363822890556</v>
      </c>
      <c r="C6" s="2" t="n">
        <v>45</v>
      </c>
      <c r="D6" s="2" t="n">
        <v>2.3</v>
      </c>
      <c r="E6" s="2" t="n">
        <v>23804.130405</v>
      </c>
      <c r="F6" s="2" t="inlineStr">
        <is>
          <t>Coating/exposure check</t>
        </is>
      </c>
      <c r="G6" s="2" t="inlineStr">
        <is>
          <t>Reference workbook input; no verified product specification or quotation</t>
        </is>
      </c>
    </row>
    <row r="7" ht="43" customHeight="1">
      <c r="A7" s="2" t="inlineStr">
        <is>
          <t>304 steel Ø80×3</t>
        </is>
      </c>
      <c r="B7" s="2" t="n">
        <v>2.76164020111317</v>
      </c>
      <c r="C7" s="2" t="n">
        <v>16</v>
      </c>
      <c r="D7" s="2" t="n">
        <v>6.15</v>
      </c>
      <c r="E7" s="2" t="n">
        <v>46532.2922064</v>
      </c>
      <c r="F7" s="2" t="inlineStr">
        <is>
          <t>Coating/exposure check</t>
        </is>
      </c>
      <c r="G7" s="2" t="inlineStr">
        <is>
          <t>Reference workbook input; no verified product specification or quotation</t>
        </is>
      </c>
    </row>
    <row r="8" ht="43" customHeight="1">
      <c r="A8" s="2" t="inlineStr">
        <is>
          <t>Engineered bamboo solid Ø80</t>
        </is>
      </c>
      <c r="B8" s="2" t="n">
        <v>1.00530964102857</v>
      </c>
      <c r="C8" s="2" t="n">
        <v>0.22</v>
      </c>
      <c r="D8" s="2" t="n">
        <v>0.4</v>
      </c>
      <c r="E8" s="2" t="n">
        <v>10157.65674</v>
      </c>
      <c r="F8" s="2" t="inlineStr">
        <is>
          <t>Treatment, moisture and replacement check</t>
        </is>
      </c>
      <c r="G8" s="2" t="inlineStr">
        <is>
          <t>Reference workbook input; no verified product specification or quotation</t>
        </is>
      </c>
    </row>
    <row r="9" ht="43" customHeight="1">
      <c r="A9" s="2" t="inlineStr">
        <is>
          <t>Treated timber solid Ø80</t>
        </is>
      </c>
      <c r="B9" s="2" t="n">
        <v>0.854513194874287</v>
      </c>
      <c r="C9" s="2" t="n">
        <v>0.14</v>
      </c>
      <c r="D9" s="2" t="n">
        <v>1.1</v>
      </c>
      <c r="E9" s="2" t="n">
        <v>6529.92219</v>
      </c>
      <c r="F9" s="2" t="inlineStr">
        <is>
          <t>Treatment, moisture and replacement check</t>
        </is>
      </c>
      <c r="G9" s="2" t="inlineStr">
        <is>
          <t>Reference workbook input; no verified product specification or quotation</t>
        </is>
      </c>
    </row>
    <row r="10" ht="43" customHeight="1">
      <c r="A10" s="2" t="inlineStr">
        <is>
          <t>Raw bamboo Ø80</t>
        </is>
      </c>
      <c r="B10" s="2" t="n">
        <v>0.404627416447819</v>
      </c>
      <c r="C10" s="2" t="n">
        <v>0.18</v>
      </c>
      <c r="D10" s="2" t="n">
        <v>0.25</v>
      </c>
      <c r="E10" s="2" t="n">
        <v>4329.9</v>
      </c>
      <c r="F10" s="2" t="inlineStr">
        <is>
          <t>Treatment, moisture and replacement check</t>
        </is>
      </c>
      <c r="G10" s="2" t="inlineStr">
        <is>
          <t>Reference workbook input; no verified product specification or quotation</t>
        </is>
      </c>
    </row>
  </sheetData>
  <autoFilter ref="A1:G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15" customWidth="1" min="3" max="3"/>
    <col width="75" customWidth="1" min="4" max="4"/>
  </cols>
  <sheetData>
    <row r="1">
      <c r="A1" s="1" t="inlineStr">
        <is>
          <t>Category</t>
        </is>
      </c>
      <c r="B1" s="1" t="inlineStr">
        <is>
          <t>Amount</t>
        </is>
      </c>
      <c r="C1" s="1" t="inlineStr">
        <is>
          <t>Unit</t>
        </is>
      </c>
      <c r="D1" s="1" t="inlineStr">
        <is>
          <t>Basis / status</t>
        </is>
      </c>
    </row>
    <row r="2" ht="43" customHeight="1">
      <c r="A2" s="2" t="inlineStr">
        <is>
          <t>Materials</t>
        </is>
      </c>
      <c r="B2" s="3" t="n">
        <v>30549.3022975</v>
      </c>
      <c r="C2" s="2" t="inlineStr">
        <is>
          <t>CNY</t>
        </is>
      </c>
      <c r="D2" s="2" t="inlineStr">
        <is>
          <t>Seven-category estimate from P3; not a quotation</t>
        </is>
      </c>
    </row>
    <row r="3" ht="43" customHeight="1">
      <c r="A3" s="2" t="inlineStr">
        <is>
          <t>Fabrication</t>
        </is>
      </c>
      <c r="B3" s="3" t="n">
        <v>5241.733545</v>
      </c>
      <c r="C3" s="2" t="inlineStr">
        <is>
          <t>CNY</t>
        </is>
      </c>
      <c r="D3" s="2" t="inlineStr">
        <is>
          <t>Seven-category estimate from P3; not a quotation</t>
        </is>
      </c>
    </row>
    <row r="4" ht="43" customHeight="1">
      <c r="A4" s="2" t="inlineStr">
        <is>
          <t>Transport</t>
        </is>
      </c>
      <c r="B4" s="3" t="n">
        <v>690</v>
      </c>
      <c r="C4" s="2" t="inlineStr">
        <is>
          <t>CNY</t>
        </is>
      </c>
      <c r="D4" s="2" t="inlineStr">
        <is>
          <t>Seven-category estimate from P3; not a quotation</t>
        </is>
      </c>
    </row>
    <row r="5" ht="43" customHeight="1">
      <c r="A5" s="2" t="inlineStr">
        <is>
          <t>Installation</t>
        </is>
      </c>
      <c r="B5" s="3" t="n">
        <v>6050</v>
      </c>
      <c r="C5" s="2" t="inlineStr">
        <is>
          <t>CNY</t>
        </is>
      </c>
      <c r="D5" s="2" t="inlineStr">
        <is>
          <t>Seven-category estimate from P3; not a quotation</t>
        </is>
      </c>
    </row>
    <row r="6" ht="43" customHeight="1">
      <c r="A6" s="2" t="inlineStr">
        <is>
          <t>Planting</t>
        </is>
      </c>
      <c r="B6" s="3" t="n">
        <v>1165</v>
      </c>
      <c r="C6" s="2" t="inlineStr">
        <is>
          <t>CNY</t>
        </is>
      </c>
      <c r="D6" s="2" t="inlineStr">
        <is>
          <t>Seven-category estimate from P3; not a quotation</t>
        </is>
      </c>
    </row>
    <row r="7" ht="43" customHeight="1">
      <c r="A7" s="2" t="inlineStr">
        <is>
          <t>Maintenance (3y)</t>
        </is>
      </c>
      <c r="B7" s="3" t="n">
        <v>2300</v>
      </c>
      <c r="C7" s="2" t="inlineStr">
        <is>
          <t>CNY</t>
        </is>
      </c>
      <c r="D7" s="2" t="inlineStr">
        <is>
          <t>Seven-category estimate from P3; not a quotation</t>
        </is>
      </c>
    </row>
    <row r="8" ht="43" customHeight="1">
      <c r="A8" s="2" t="inlineStr">
        <is>
          <t>Other</t>
        </is>
      </c>
      <c r="B8" s="3" t="n">
        <v>5679.6828674</v>
      </c>
      <c r="C8" s="2" t="inlineStr">
        <is>
          <t>CNY</t>
        </is>
      </c>
      <c r="D8" s="2" t="inlineStr">
        <is>
          <t>Seven-category estimate from P3; not a quotation</t>
        </is>
      </c>
    </row>
    <row r="9">
      <c r="A9" t="inlineStr">
        <is>
          <t>TOTAL</t>
        </is>
      </c>
      <c r="B9" s="4">
        <f>SUM(B2:B8)</f>
        <v/>
      </c>
      <c r="C9" t="inlineStr">
        <is>
          <t>CNY</t>
        </is>
      </c>
      <c r="D9" t="inlineStr">
        <is>
          <t>Source total approximately 51,675.72; Excel recalculates on open.</t>
        </is>
      </c>
    </row>
  </sheetData>
  <autoFilter ref="A1:D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42" customWidth="1" min="2" max="2"/>
    <col width="49" customWidth="1" min="3" max="3"/>
    <col width="76" customWidth="1" min="4" max="4"/>
  </cols>
  <sheetData>
    <row r="1">
      <c r="A1" s="1" t="inlineStr">
        <is>
          <t>Feature</t>
        </is>
      </c>
      <c r="B1" s="1" t="inlineStr">
        <is>
          <t>Mechanism</t>
        </is>
      </c>
      <c r="C1" s="1" t="inlineStr">
        <is>
          <t>Expected benefit</t>
        </is>
      </c>
      <c r="D1" s="1" t="inlineStr">
        <is>
          <t>Evidence / condition</t>
        </is>
      </c>
    </row>
    <row r="2" ht="43" customHeight="1">
      <c r="A2" s="2" t="inlineStr">
        <is>
          <t>Broad crown + climbers</t>
        </is>
      </c>
      <c r="B2" s="2" t="inlineStr">
        <is>
          <t>Intercept direct sun</t>
        </is>
      </c>
      <c r="C2" s="2" t="inlineStr">
        <is>
          <t>Less exposure of people/ground</t>
        </is>
      </c>
      <c r="D2" s="2" t="inlineStr">
        <is>
          <t>Geometric/optical calculation P2/P5; no measured cooling</t>
        </is>
      </c>
    </row>
    <row r="3" ht="43" customHeight="1">
      <c r="A3" s="2" t="inlineStr">
        <is>
          <t>Leaf cover and location</t>
        </is>
      </c>
      <c r="B3" s="2" t="inlineStr">
        <is>
          <t>Transmission and overlap</t>
        </is>
      </c>
      <c r="C3" s="2" t="inlineStr">
        <is>
          <t>Shade depends on amount and placement</t>
        </is>
      </c>
      <c r="D3" s="2" t="inlineStr">
        <is>
          <t>Five cover states + distribution tests P5</t>
        </is>
      </c>
    </row>
    <row r="4" ht="43" customHeight="1">
      <c r="A4" s="2" t="inlineStr">
        <is>
          <t>Open sides / porosity</t>
        </is>
      </c>
      <c r="B4" s="2" t="inlineStr">
        <is>
          <t>Potential paths and vegetation drag</t>
        </is>
      </c>
      <c r="C4" s="2" t="inlineStr">
        <is>
          <t>Possible airflow trade-off</t>
        </is>
      </c>
      <c r="D4" s="2" t="inlineStr">
        <is>
          <t>Qualitative design P4; no flow simulation</t>
        </is>
      </c>
    </row>
    <row r="5" ht="43" customHeight="1">
      <c r="A5" s="2" t="inlineStr">
        <is>
          <t>Healthy plants + water</t>
        </is>
      </c>
      <c r="B5" s="2" t="inlineStr">
        <is>
          <t>Conditional evapotranspiration</t>
        </is>
      </c>
      <c r="C5" s="2" t="inlineStr">
        <is>
          <t>Potential latent heat exchange</t>
        </is>
      </c>
      <c r="D5" s="2" t="inlineStr">
        <is>
          <t>Literature mechanism; no project energy balance</t>
        </is>
      </c>
    </row>
  </sheetData>
  <autoFilter ref="A1:D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2026-10-25T08:58:15Z</dcterms:created>
  <dcterms:modified xmlns:dcterms="http://purl.org/dc/terms/" xmlns:xsi="http://www.w3.org/2001/XMLSchema-instance" xsi:type="dcterms:W3CDTF">2026-10-25T08:58:15Z</dcterms:modified>
</cp:coreProperties>
</file>